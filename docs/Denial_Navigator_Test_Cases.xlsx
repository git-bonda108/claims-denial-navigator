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UI checks (browser)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ow to validate" sheetId="4" state="visible" r:id="rId4"/>
  </sheets>
  <definedNames>
    <definedName name="_xlnm._FilterDatabase" localSheetId="0" hidden="1">'Test Cases'!$A$5:$M$22</definedName>
    <definedName name="_xlnm.Print_Titles" localSheetId="0">'Test Cases'!$5:$5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DM Sans"/>
      <b val="1"/>
      <color rgb="000B1F3A"/>
      <sz val="14"/>
    </font>
    <font>
      <name val="DM Sans"/>
      <color rgb="0052606D"/>
      <sz val="9"/>
    </font>
    <font>
      <name val="DM Sans"/>
      <i val="1"/>
      <color rgb="0052606D"/>
      <sz val="9"/>
    </font>
    <font>
      <name val="DM Sans"/>
      <b val="1"/>
      <color rgb="00FFFFFF"/>
      <sz val="10"/>
    </font>
    <font>
      <name val="DM Sans"/>
      <sz val="10"/>
    </font>
    <font>
      <name val="DM Sans"/>
      <b val="1"/>
      <color rgb="001F4E8C"/>
      <sz val="10"/>
    </font>
    <font>
      <name val="DM Sans"/>
      <b val="1"/>
      <sz val="10"/>
    </font>
    <font>
      <name val="DM Sans"/>
      <b val="1"/>
      <color rgb="000B1F3A"/>
      <sz val="12"/>
    </font>
    <font>
      <name val="DM Sans"/>
      <color rgb="001F2933"/>
      <sz val="10"/>
    </font>
    <font>
      <name val="DM Sans"/>
      <b val="1"/>
      <color rgb="001E7A50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8C"/>
      </patternFill>
    </fill>
    <fill>
      <patternFill patternType="solid">
        <fgColor rgb="00FFF6DB"/>
      </patternFill>
    </fill>
    <fill>
      <patternFill patternType="solid">
        <fgColor rgb="00E3F3EA"/>
      </patternFill>
    </fill>
  </fills>
  <borders count="2">
    <border>
      <left/>
      <right/>
      <top/>
      <bottom/>
      <diagonal/>
    </border>
    <border>
      <left style="thin">
        <color rgb="00E0E3E7"/>
      </left>
      <right style="thin">
        <color rgb="00E0E3E7"/>
      </right>
      <top style="thin">
        <color rgb="00E0E3E7"/>
      </top>
      <bottom style="thin">
        <color rgb="00E0E3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1" pivotButton="0" quotePrefix="0" xfId="0"/>
    <xf numFmtId="0" fontId="9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DM Sans"/>
        <b val="1"/>
        <color rgb="001E7A50"/>
      </font>
      <fill>
        <patternFill patternType="solid">
          <fgColor rgb="00E3F3EA"/>
        </patternFill>
      </fill>
    </dxf>
    <dxf>
      <font>
        <name val="DM Sans"/>
        <b val="1"/>
        <color rgb="00E4572E"/>
      </font>
      <fill>
        <patternFill patternType="solid">
          <fgColor rgb="00FCE4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44" customWidth="1" min="5" max="5"/>
    <col width="50" customWidth="1" min="6" max="6"/>
    <col width="70" customWidth="1" min="7" max="7"/>
    <col width="11" customWidth="1" min="8" max="8"/>
    <col width="10" customWidth="1" min="9" max="9"/>
    <col width="13" customWidth="1" min="10" max="10"/>
    <col width="14" customWidth="1" min="11" max="11"/>
    <col width="12" customWidth="1" min="12" max="12"/>
    <col width="28" customWidth="1" min="13" max="13"/>
  </cols>
  <sheetData>
    <row r="1">
      <c r="A1" s="1" t="inlineStr">
        <is>
          <t>Denial Navigator · Business test cases</t>
        </is>
      </c>
    </row>
    <row r="2">
      <c r="A2" s="2" t="inlineStr">
        <is>
          <t>Environment: Local copy of the release being deployed (same code as Azure)  ·  Version: 5e522f98  ·  AI: Simulated Azure OpenAI (1.5 s per call) - run on live Azure to capture real AI  ·  Automated run: 2026-10-27 16:23 UTC  ·  All data synthetic (no patient data)</t>
        </is>
      </c>
    </row>
    <row r="3">
      <c r="A3" s="3" t="inlineStr">
        <is>
          <t>Columns A-I were filled in by the automated run. To validate: follow 'How to test' in the web app, compare with 'Expected result', then fill the yellow columns (choose PASS or FAIL).</t>
        </is>
      </c>
    </row>
    <row r="5">
      <c r="A5" s="4" t="inlineStr">
        <is>
          <t>ID</t>
        </is>
      </c>
      <c r="B5" s="4" t="inlineStr">
        <is>
          <t>Area</t>
        </is>
      </c>
      <c r="C5" s="4" t="inlineStr">
        <is>
          <t>Test</t>
        </is>
      </c>
      <c r="D5" s="4" t="inlineStr">
        <is>
          <t>Business question</t>
        </is>
      </c>
      <c r="E5" s="4" t="inlineStr">
        <is>
          <t>How to test (in the web app)</t>
        </is>
      </c>
      <c r="F5" s="4" t="inlineStr">
        <is>
          <t>Expected result</t>
        </is>
      </c>
      <c r="G5" s="4" t="inlineStr">
        <is>
          <t>Automated result (captured)</t>
        </is>
      </c>
      <c r="H5" s="4" t="inlineStr">
        <is>
          <t>Automated status</t>
        </is>
      </c>
      <c r="I5" s="4" t="inlineStr">
        <is>
          <t>Response time (s)</t>
        </is>
      </c>
      <c r="J5" s="5" t="inlineStr">
        <is>
          <t>Your result (PASS/FAIL)</t>
        </is>
      </c>
      <c r="K5" s="5" t="inlineStr">
        <is>
          <t>Tester</t>
        </is>
      </c>
      <c r="L5" s="5" t="inlineStr">
        <is>
          <t>Date</t>
        </is>
      </c>
      <c r="M5" s="5" t="inlineStr">
        <is>
          <t>Notes</t>
        </is>
      </c>
    </row>
    <row r="6" ht="140" customHeight="1">
      <c r="A6" s="6" t="inlineStr">
        <is>
          <t>TC-01</t>
        </is>
      </c>
      <c r="B6" s="7" t="inlineStr">
        <is>
          <t>Setup</t>
        </is>
      </c>
      <c r="C6" s="7" t="inlineStr">
        <is>
          <t>Browsers get the latest version</t>
        </is>
      </c>
      <c r="D6" s="7" t="inlineStr">
        <is>
          <t>Will everyone see the newest screens, not an old cached copy?</t>
        </is>
      </c>
      <c r="E6" s="7" t="inlineStr">
        <is>
          <t>1. Open the app link.
2. Look at the bottom of the left sidebar.</t>
        </is>
      </c>
      <c r="F6" s="7" t="inlineStr">
        <is>
          <t>Sidebar shows 'Version' followed by the code in the Actual result column. The Remittance inbox has a 'Reset demo data' button.</t>
        </is>
      </c>
      <c r="G6" s="7" t="inlineStr">
        <is>
          <t>Page HTTP 200. Version 5e522f98; page loads app.js?v=5e522f98: True. Cache-Control: no-store, max-age=0 (browsers always fetch the latest version). AI mode: azure.</t>
        </is>
      </c>
      <c r="H6" s="8" t="inlineStr">
        <is>
          <t>PASS</t>
        </is>
      </c>
      <c r="I6" s="7" t="n">
        <v>0</v>
      </c>
      <c r="J6" s="9" t="inlineStr"/>
      <c r="K6" s="10" t="inlineStr"/>
      <c r="L6" s="10" t="inlineStr"/>
      <c r="M6" s="10" t="inlineStr"/>
    </row>
    <row r="7" ht="140" customHeight="1">
      <c r="A7" s="6" t="inlineStr">
        <is>
          <t>TC-02</t>
        </is>
      </c>
      <c r="B7" s="7" t="inlineStr">
        <is>
          <t>Setup</t>
        </is>
      </c>
      <c r="C7" s="7" t="inlineStr">
        <is>
          <t>Reset demo data</t>
        </is>
      </c>
      <c r="D7" s="7" t="inlineStr">
        <is>
          <t>Can we put the demo back to a clean start without IT?</t>
        </is>
      </c>
      <c r="E7" s="7" t="inlineStr">
        <is>
          <t>1. Remittance inbox → Reset demo data → OK.
2. Open Dashboard.</t>
        </is>
      </c>
      <c r="F7" s="7" t="inlineStr">
        <is>
          <t>Takes about 10 seconds. Dashboard: Resolved 0, Teams alerts 'No alerts yet'. Live files show a plain 'Ingest' button.</t>
        </is>
      </c>
      <c r="G7" s="7" t="inlineStr">
        <is>
          <t>Reloaded 1200 claims and 1194 remittances. Resolved: 0. Teams alerts: 0. Live files in Recent files: 0.</t>
        </is>
      </c>
      <c r="H7" s="8" t="inlineStr">
        <is>
          <t>PASS</t>
        </is>
      </c>
      <c r="I7" s="7" t="n">
        <v>0.9</v>
      </c>
      <c r="J7" s="9" t="inlineStr"/>
      <c r="K7" s="10" t="inlineStr"/>
      <c r="L7" s="10" t="inlineStr"/>
      <c r="M7" s="10" t="inlineStr"/>
    </row>
    <row r="8" ht="140" customHeight="1">
      <c r="A8" s="6" t="inlineStr">
        <is>
          <t>TC-03</t>
        </is>
      </c>
      <c r="B8" s="7" t="inlineStr">
        <is>
          <t>Dashboard</t>
        </is>
      </c>
      <c r="C8" s="7" t="inlineStr">
        <is>
          <t>Denials at a glance</t>
        </is>
      </c>
      <c r="D8" s="7" t="inlineStr">
        <is>
          <t>Does the dashboard show the money and urgency at a glance?</t>
        </is>
      </c>
      <c r="E8" s="7" t="inlineStr">
        <is>
          <t>1. Open Dashboard.
2. Read the 5 tiles, the urgency bar and the 4 charts.</t>
        </is>
      </c>
      <c r="F8" s="7" t="inlineStr">
        <is>
          <t>About 1,200 claims, denial rate 15-21%. Open denied dollars, at-risk ≤30 days, over 3,000 routine adjustments filtered, Resolved 0. Charts by root cause, payer and team queue.</t>
        </is>
      </c>
      <c r="G8" s="7" t="inlineStr">
        <is>
          <t>1,194 claims, denial rate 18.1%. Open denied $157,985 across 253 items; at risk ≤30 days $21,650. 3,256 routine adjustments filtered. Resolved 0. Top root cause: Prior authorization.</t>
        </is>
      </c>
      <c r="H8" s="8" t="inlineStr">
        <is>
          <t>PASS</t>
        </is>
      </c>
      <c r="I8" s="7" t="n">
        <v>0.1</v>
      </c>
      <c r="J8" s="9" t="inlineStr"/>
      <c r="K8" s="10" t="inlineStr"/>
      <c r="L8" s="10" t="inlineStr"/>
      <c r="M8" s="10" t="inlineStr"/>
    </row>
    <row r="9" ht="140" customHeight="1">
      <c r="A9" s="6" t="inlineStr">
        <is>
          <t>TC-04</t>
        </is>
      </c>
      <c r="B9" s="7" t="inlineStr">
        <is>
          <t>Worklist</t>
        </is>
      </c>
      <c r="C9" s="7" t="inlineStr">
        <is>
          <t>Ranked and filtered worklist</t>
        </is>
      </c>
      <c r="D9" s="7" t="inlineStr">
        <is>
          <t>Does each team see only its own work, most valuable and urgent first?</t>
        </is>
      </c>
      <c r="E9" s="7" t="inlineStr">
        <is>
          <t>1. Open Worklist.
2. Set Queue = Coding.
3. Set Queue = All queues, Urgency = Critical.</t>
        </is>
      </c>
      <c r="F9" s="7" t="inlineStr">
        <is>
          <t>Rows sorted by score (highest first). Coding filter shows only Coding rows. Critical filter shows only critical deadlines.</t>
        </is>
      </c>
      <c r="G9" s="7" t="inlineStr">
        <is>
          <t>253 open items, sorted by score (100 → 0). Queue filter Coding: 78 items, all Coding: True. Urgency filter Critical: 2 items. Every item has a decision and a team queue.</t>
        </is>
      </c>
      <c r="H9" s="8" t="inlineStr">
        <is>
          <t>PASS</t>
        </is>
      </c>
      <c r="I9" s="7" t="n">
        <v>0.1</v>
      </c>
      <c r="J9" s="9" t="inlineStr"/>
      <c r="K9" s="10" t="inlineStr"/>
      <c r="L9" s="10" t="inlineStr"/>
      <c r="M9" s="10" t="inlineStr"/>
    </row>
    <row r="10" ht="140" customHeight="1">
      <c r="A10" s="6" t="inlineStr">
        <is>
          <t>TC-05</t>
        </is>
      </c>
      <c r="B10" s="7" t="inlineStr">
        <is>
          <t>Ingestion</t>
        </is>
      </c>
      <c r="C10" s="7" t="inlineStr">
        <is>
          <t>A new remittance arrives (Summit Mutual)</t>
        </is>
      </c>
      <c r="D10" s="7" t="inlineStr">
        <is>
          <t>Does a payer file turn into decided denials and alerts, without anyone reading it?</t>
        </is>
      </c>
      <c r="E10" s="7" t="inlineStr">
        <is>
          <t>1. Remittance inbox → click Ingest on 835_LIVE_SMM_… once.
2. Watch the button count 'Processing… 1s, 2s'.
3. Open Dashboard → Teams alerts.</t>
        </is>
      </c>
      <c r="F10" s="7" t="inlineStr">
        <is>
          <t>Done within about 5 seconds: '2 denials decided, 2 Teams alerts'. File gets an 'Ingested ✓' badge and tops Recent files. Alerts: High-value denial (PRH-10222, $2,840) and Deadline alert (PRH-10223).</t>
        </is>
      </c>
      <c r="G10" s="7" t="inlineStr">
        <is>
          <t>File PROCESSED in 1.5s: 2 claims, 2 denials decided, 2 Teams alerts (⏰ Deadline alert; 💲 High-value denial). Top of Recent files: 835_LIVE_SMM_20261027.txt. New items: PRH-10222 → Appeal (level 1) $2,840, PRH-10223 → Correct &amp; resubmit $380</t>
        </is>
      </c>
      <c r="H10" s="8" t="inlineStr">
        <is>
          <t>PASS</t>
        </is>
      </c>
      <c r="I10" s="7" t="n">
        <v>1.5</v>
      </c>
      <c r="J10" s="9" t="inlineStr"/>
      <c r="K10" s="10" t="inlineStr"/>
      <c r="L10" s="10" t="inlineStr"/>
      <c r="M10" s="10" t="inlineStr"/>
    </row>
    <row r="11" ht="140" customHeight="1">
      <c r="A11" s="6" t="inlineStr">
        <is>
          <t>TC-06</t>
        </is>
      </c>
      <c r="B11" s="7" t="inlineStr">
        <is>
          <t>Decision</t>
        </is>
      </c>
      <c r="C11" s="7" t="inlineStr">
        <is>
          <t>Prior-auth denial: explain, cite, letter, approve</t>
        </is>
      </c>
      <c r="D11" s="7" t="inlineStr">
        <is>
          <t>Can a biller understand a $2,840 denial and act on it in one screen?</t>
        </is>
      </c>
      <c r="E11" s="7" t="inlineStr">
        <is>
          <t>1. Dashboard → Teams alerts → 'Open claim' on PRH-10222.
2. Read the decision card.
3. Draft letter → read → close.
4. Approve plan.</t>
        </is>
      </c>
      <c r="F11" s="7" t="inlineStr">
        <is>
          <t>Appeal (level 1) → Utilization Review. Cause names authorization AUTH-… that was on file but not on the claim. Policy citation and 60-day deadline shown. Letter has the claim and auth numbers. Approve → status DONE, Dashboard Resolved 1.</t>
        </is>
      </c>
      <c r="G11" s="7" t="inlineStr">
        <is>
          <t>PRH-10222 CO-197 $2,840: Appeal (level 1) → Utilization Review. Cause: Authorization AUTH-52611 (approved 2026-10-03) exists but was not reported on the claim. Due 2026-12-26 (60 days). Cited: K13. Explanation by azure:gpt-4.1-mini. Letter by azure:gpt-4.1-mini in 1.5s contains claim and auth number: True. Approved → DONE; Resolved now 1.</t>
        </is>
      </c>
      <c r="H11" s="8" t="inlineStr">
        <is>
          <t>PASS</t>
        </is>
      </c>
      <c r="I11" s="7" t="n">
        <v>1.5</v>
      </c>
      <c r="J11" s="9" t="inlineStr"/>
      <c r="K11" s="10" t="inlineStr"/>
      <c r="L11" s="10" t="inlineStr"/>
      <c r="M11" s="10" t="inlineStr"/>
    </row>
    <row r="12" ht="140" customHeight="1">
      <c r="A12" s="6" t="inlineStr">
        <is>
          <t>TC-07</t>
        </is>
      </c>
      <c r="B12" s="7" t="inlineStr">
        <is>
          <t>Decision</t>
        </is>
      </c>
      <c r="C12" s="7" t="inlineStr">
        <is>
          <t>Deadline alert: coding fix due in 5 days</t>
        </is>
      </c>
      <c r="D12" s="7" t="inlineStr">
        <is>
          <t>Does it catch money about to be lost to a deadline?</t>
        </is>
      </c>
      <c r="E12" s="7" t="inlineStr">
        <is>
          <t>1. Open PRH-10223 (Teams alert or Worklist).
2. Read Deadline and Checks.</t>
        </is>
      </c>
      <c r="F12" s="7" t="inlineStr">
        <is>
          <t>Correct &amp; resubmit → Coding. Cause: billed diagnosis inconsistent with the knee injection side; the chart documents the right code. Deadline 5 days, Critical (red).</t>
        </is>
      </c>
      <c r="G12" s="7" t="inlineStr">
        <is>
          <t>PRH-10223 CO-11 $380: Correct &amp; resubmit → Coding. Cause: Billed diagnosis M17.12 is inconsistent with 20610 RT; chart documents M17.11. Due 2026-11-01: 5 days, Critical. Assistant 'due this week' mentions it: True.</t>
        </is>
      </c>
      <c r="H12" s="8" t="inlineStr">
        <is>
          <t>PASS</t>
        </is>
      </c>
      <c r="I12" s="7" t="n">
        <v>0</v>
      </c>
      <c r="J12" s="9" t="inlineStr"/>
      <c r="K12" s="10" t="inlineStr"/>
      <c r="L12" s="10" t="inlineStr"/>
      <c r="M12" s="10" t="inlineStr"/>
    </row>
    <row r="13" ht="140" customHeight="1">
      <c r="A13" s="6" t="inlineStr">
        <is>
          <t>TC-08</t>
        </is>
      </c>
      <c r="B13" s="7" t="inlineStr">
        <is>
          <t>Ingestion</t>
        </is>
      </c>
      <c r="C13" s="7" t="inlineStr">
        <is>
          <t>Medicare medical-necessity denial</t>
        </is>
      </c>
      <c r="D13" s="7" t="inlineStr">
        <is>
          <t>Does it find the real fix instead of writing the money off?</t>
        </is>
      </c>
      <c r="E13" s="7" t="inlineStr">
        <is>
          <t>1. Remittance inbox → Ingest 835_LIVE_MCR_… once.
2. Click PRH-10224 in the result.
3. Read Checks and Steps.</t>
        </is>
      </c>
      <c r="F13" s="7" t="inlineStr">
        <is>
          <t>Done within about 10 seconds: 4 claims, 6 denials. PRH-10224: Correct &amp; resubmit → Coding. ✗ billed diagnosis not covered, ✓ covered diagnosis found in the chart. Deadline: reopening within 1 year.</t>
        </is>
      </c>
      <c r="G13" s="7" t="inlineStr">
        <is>
          <t>File PROCESSED in 1.6s: 4 claims, 6 denials. PRH-10224 CO-50 N115 MA18 on 93306 $1,800: Correct &amp; resubmit → Coding. Check failed: Billed diagnosis covered by DEMO-L001 (I10). Found: Covered diagnosis documented in chart (R06.02). Deadline: 1 year from initial determination (2027-10-27). Explanation by azure:gpt-4.1-mini.</t>
        </is>
      </c>
      <c r="H13" s="8" t="inlineStr">
        <is>
          <t>PASS</t>
        </is>
      </c>
      <c r="I13" s="7" t="n">
        <v>1.6</v>
      </c>
      <c r="J13" s="9" t="inlineStr"/>
      <c r="K13" s="10" t="inlineStr"/>
      <c r="L13" s="10" t="inlineStr"/>
      <c r="M13" s="10" t="inlineStr"/>
    </row>
    <row r="14" ht="140" customHeight="1">
      <c r="A14" s="6" t="inlineStr">
        <is>
          <t>TC-09</t>
        </is>
      </c>
      <c r="B14" s="7" t="inlineStr">
        <is>
          <t>Decision</t>
        </is>
      </c>
      <c r="C14" s="7" t="inlineStr">
        <is>
          <t>Unprocessable claim (missing provider ID)</t>
        </is>
      </c>
      <c r="D14" s="7" t="inlineStr">
        <is>
          <t>Does it avoid wasting an appeal on a claim with no appeal rights?</t>
        </is>
      </c>
      <c r="E14" s="7" t="inlineStr">
        <is>
          <t>1. Open PRH-10227.
2. Read Checks and Steps.</t>
        </is>
      </c>
      <c r="F14" s="7" t="inlineStr">
        <is>
          <t>Submit new claim → Billing. Rendering provider NPI missing. Steps: add the NPI, send a new claim. No appeal.</t>
        </is>
      </c>
      <c r="G14" s="7" t="inlineStr">
        <is>
          <t>PRH-10227 CO-16 MA130 N290: Submit new claim → Billing. Cause: Claim returned as unprocessable - N290: Missing/incomplete/invalid rendering provider primary identifier. Check: Rendering provider NPI on claim. Steps: Add the rendering provider NPI (loop 2310B) / Submit as a NEW claim (no appeal rights for unprocessable claims). No appeal recommended.</t>
        </is>
      </c>
      <c r="H14" s="8" t="inlineStr">
        <is>
          <t>PASS</t>
        </is>
      </c>
      <c r="I14" s="7" t="n">
        <v>0</v>
      </c>
      <c r="J14" s="9" t="inlineStr"/>
      <c r="K14" s="10" t="inlineStr"/>
      <c r="L14" s="10" t="inlineStr"/>
      <c r="M14" s="10" t="inlineStr"/>
    </row>
    <row r="15" ht="140" customHeight="1">
      <c r="A15" s="6" t="inlineStr">
        <is>
          <t>TC-10</t>
        </is>
      </c>
      <c r="B15" s="7" t="inlineStr">
        <is>
          <t>Decision</t>
        </is>
      </c>
      <c r="C15" s="7" t="inlineStr">
        <is>
          <t>Other payer first; bundling edit</t>
        </is>
      </c>
      <c r="D15" s="7" t="inlineStr">
        <is>
          <t>Does it route coordination-of-benefits and coding-edit denials to the right team?</t>
        </is>
      </c>
      <c r="E15" s="7" t="inlineStr">
        <is>
          <t>1. Open PRH-10225.
2. Open PRH-10226.</t>
        </is>
      </c>
      <c r="F15" s="7" t="inlineStr">
        <is>
          <t>PRH-10225 (3 lines): Bill other payer → Registration (employer plan is primary). PRH-10226: Correct &amp; resubmit → Coding (NCCI pair allows a modifier; separate session documented).</t>
        </is>
      </c>
      <c r="G15" s="7" t="inlineStr">
        <is>
          <t>PRH-10225 CO-22 (3 lines, $360): Bill other payer → Registration. Cause: Employer group health plan (demo) is primary; bill it first, then this payer as secondary. PRH-10226 CO-97 M15 MA18 on 97140: Correct &amp; resubmit → Coding. Cause: 97530/97140 NCCI pair allows a modifier; separate site/session is documented.</t>
        </is>
      </c>
      <c r="H15" s="8" t="inlineStr">
        <is>
          <t>PASS</t>
        </is>
      </c>
      <c r="I15" s="7" t="n">
        <v>0</v>
      </c>
      <c r="J15" s="9" t="inlineStr"/>
      <c r="K15" s="10" t="inlineStr"/>
      <c r="L15" s="10" t="inlineStr"/>
      <c r="M15" s="10" t="inlineStr"/>
    </row>
    <row r="16" ht="140" customHeight="1">
      <c r="A16" s="6" t="inlineStr">
        <is>
          <t>TC-11</t>
        </is>
      </c>
      <c r="B16" s="7" t="inlineStr">
        <is>
          <t>AI</t>
        </is>
      </c>
      <c r="C16" s="7" t="inlineStr">
        <is>
          <t>Explain with AI</t>
        </is>
      </c>
      <c r="D16" s="7" t="inlineStr">
        <is>
          <t>Does the AI explain a denial in plain English without changing the decision?</t>
        </is>
      </c>
      <c r="E16" s="7" t="inlineStr">
        <is>
          <t>1. Worklist → open the top item.
2. Click 'Explain with AI' (the button counts seconds while it works).</t>
        </is>
      </c>
      <c r="F16" s="7" t="inlineStr">
        <is>
          <t>A plain-English explanation 'by azure:gpt-4.1-mini' appears in a few seconds. The action and queue stay the same.</t>
        </is>
      </c>
      <c r="G16" s="7" t="inlineStr">
        <is>
          <t>PRH-10007: explanation by azure:gpt-4.1-mini in 1.5s. Rule decision unchanged (OBTAIN_RETRO_AUTH). Starts: '[AI] No authorization on file; Plains Health (Demo commercial) accepts retro-authorization within 30 days of denial. Recommended next step follows the'</t>
        </is>
      </c>
      <c r="H16" s="8" t="inlineStr">
        <is>
          <t>PASS</t>
        </is>
      </c>
      <c r="I16" s="7" t="n">
        <v>1.5</v>
      </c>
      <c r="J16" s="9" t="inlineStr"/>
      <c r="K16" s="10" t="inlineStr"/>
      <c r="L16" s="10" t="inlineStr"/>
      <c r="M16" s="10" t="inlineStr"/>
    </row>
    <row r="17" ht="140" customHeight="1">
      <c r="A17" s="6" t="inlineStr">
        <is>
          <t>TC-12</t>
        </is>
      </c>
      <c r="B17" s="7" t="inlineStr">
        <is>
          <t>Control</t>
        </is>
      </c>
      <c r="C17" s="7" t="inlineStr">
        <is>
          <t>Human override becomes a precedent</t>
        </is>
      </c>
      <c r="D17" s="7" t="inlineStr">
        <is>
          <t>Do people stay in control, and does the system learn from them?</t>
        </is>
      </c>
      <c r="E17" s="7" t="inlineStr">
        <is>
          <t>1. Open any open item.
2. Click Override with no reason (it asks for one).
3. Pick another action, type a reason, click Override.</t>
        </is>
      </c>
      <c r="F17" s="7" t="inlineStr">
        <is>
          <t>Without a reason it asks for one. With a reason: saved, status DONE, added to the policy library as a precedent, Resolved +1.</t>
        </is>
      </c>
      <c r="G17" s="7" t="inlineStr">
        <is>
          <t>Invalid action rejected: True. Override of PRH-10007 (OBTAIN_RETRO_AUTH → Write off) saved: DONE. Policy library 20 → 21 cards (new precedent). Resolved now 2.</t>
        </is>
      </c>
      <c r="H17" s="8" t="inlineStr">
        <is>
          <t>PASS</t>
        </is>
      </c>
      <c r="I17" s="7" t="n">
        <v>0</v>
      </c>
      <c r="J17" s="9" t="inlineStr"/>
      <c r="K17" s="10" t="inlineStr"/>
      <c r="L17" s="10" t="inlineStr"/>
      <c r="M17" s="10" t="inlineStr"/>
    </row>
    <row r="18" ht="140" customHeight="1">
      <c r="A18" s="6" t="inlineStr">
        <is>
          <t>TC-13</t>
        </is>
      </c>
      <c r="B18" s="7" t="inlineStr">
        <is>
          <t>AI</t>
        </is>
      </c>
      <c r="C18" s="7" t="inlineStr">
        <is>
          <t>Ask the assistant; guardrails hold</t>
        </is>
      </c>
      <c r="D18" s="7" t="inlineStr">
        <is>
          <t>Can a manager ask in plain English, and does the AI stay on topic?</t>
        </is>
      </c>
      <c r="E18" s="7" t="inlineStr">
        <is>
          <t>1. Assistant → 'What is due this week?'.
2. Type 'Why was PRH-10222 denied?'.
3. 'What is the Medicare timely filing limit?'.
4. 'Write me a poem about cats'.</t>
        </is>
      </c>
      <c r="F18" s="7" t="inlineStr">
        <is>
          <t>Answers 1-3 with claim numbers, dollars and dates (12 months for Medicare). Politely declines the poem.</t>
        </is>
      </c>
      <c r="G18" s="7" t="inlineStr">
        <is>
          <t>All 4 answered by rules-router (6.0s total). Due this week: '1. **PRH-10219** CO-197 72148 - Obtain retro-authorization - $2,450.00 - due 2026-11-01 (5'. Why PRH-10222: '**PRH-10222** - Summit Mutual (Demo commercial) - DOS 2026-10-06\n- CO-197 on 74177: **Appe'. Timely filing: '**Medicare timely filing limit** - Medicare fee-for-service claims mus'. Off-topic: 'I can help with denials: try *top 10 by dollars*, *what is due this we'.</t>
        </is>
      </c>
      <c r="H18" s="8" t="inlineStr">
        <is>
          <t>PASS</t>
        </is>
      </c>
      <c r="I18" s="7" t="n">
        <v>6</v>
      </c>
      <c r="J18" s="9" t="inlineStr"/>
      <c r="K18" s="10" t="inlineStr"/>
      <c r="L18" s="10" t="inlineStr"/>
      <c r="M18" s="10" t="inlineStr"/>
    </row>
    <row r="19" ht="140" customHeight="1">
      <c r="A19" s="6" t="inlineStr">
        <is>
          <t>TC-14</t>
        </is>
      </c>
      <c r="B19" s="7" t="inlineStr">
        <is>
          <t>Ingestion</t>
        </is>
      </c>
      <c r="C19" s="7" t="inlineStr">
        <is>
          <t>View raw file; bad file is quarantined</t>
        </is>
      </c>
      <c r="D19" s="7" t="inlineStr">
        <is>
          <t>Is a broken file handled safely?</t>
        </is>
      </c>
      <c r="E19" s="7" t="inlineStr">
        <is>
          <t>1. Remittance inbox → 'view raw' on a live file.
2. Upload any non-X12 text file in 'Upload a file'.</t>
        </is>
      </c>
      <c r="F19" s="7" t="inlineStr">
        <is>
          <t>Raw view shows the X12 text (starts with ISA). The bad file is QUARANTINED with a reason; nothing breaks.</t>
        </is>
      </c>
      <c r="G19" s="7" t="inlineStr">
        <is>
          <t>'view raw' on 835_LIVE_MCR_20261027.txt: HTTP 200, starts with ISA (X12). Uploaded a broken file: QUARANTINED - File is not an X12 835 or 837 transaction. The app kept running.</t>
        </is>
      </c>
      <c r="H19" s="8" t="inlineStr">
        <is>
          <t>PASS</t>
        </is>
      </c>
      <c r="I19" s="7" t="n">
        <v>0</v>
      </c>
      <c r="J19" s="9" t="inlineStr"/>
      <c r="K19" s="10" t="inlineStr"/>
      <c r="L19" s="10" t="inlineStr"/>
      <c r="M19" s="10" t="inlineStr"/>
    </row>
    <row r="20" ht="140" customHeight="1">
      <c r="A20" s="6" t="inlineStr">
        <is>
          <t>TC-15</t>
        </is>
      </c>
      <c r="B20" s="7" t="inlineStr">
        <is>
          <t>Quality</t>
        </is>
      </c>
      <c r="C20" s="7" t="inlineStr">
        <is>
          <t>Proof &amp; quality</t>
        </is>
      </c>
      <c r="D20" s="7" t="inlineStr">
        <is>
          <t>Can we prove the decisions are right and safe?</t>
        </is>
      </c>
      <c r="E20" s="7" t="inlineStr">
        <is>
          <t>1. Open Proof &amp; quality.</t>
        </is>
      </c>
      <c r="F20" s="7" t="inlineStr">
        <is>
          <t>Denial decisions correct ≥95% (expected 100%), noise filtered ≥99%, 0 unsafe actions, ranking AUC shown.</t>
        </is>
      </c>
      <c r="G20" s="7" t="inlineStr">
        <is>
          <t>Denial decisions correct 100.0% (258 labelled). Noise filtered correctly 100.0%. Unsafe actions: 0 (human overrides are not counted against the system). Deadlines computed: 204. Ranking AUC 0.772.</t>
        </is>
      </c>
      <c r="H20" s="8" t="inlineStr">
        <is>
          <t>PASS</t>
        </is>
      </c>
      <c r="I20" s="7" t="n">
        <v>0.1</v>
      </c>
      <c r="J20" s="9" t="inlineStr"/>
      <c r="K20" s="10" t="inlineStr"/>
      <c r="L20" s="10" t="inlineStr"/>
      <c r="M20" s="10" t="inlineStr"/>
    </row>
    <row r="21" ht="140" customHeight="1">
      <c r="A21" s="6" t="inlineStr">
        <is>
          <t>TC-16</t>
        </is>
      </c>
      <c r="B21" s="7" t="inlineStr">
        <is>
          <t>Media</t>
        </is>
      </c>
      <c r="C21" s="7" t="inlineStr">
        <is>
          <t>Explainer page, GIF and MP4</t>
        </is>
      </c>
      <c r="D21" s="7" t="inlineStr">
        <is>
          <t>Can people watch the story without a live demo?</t>
        </is>
      </c>
      <c r="E21" s="7" t="inlineStr">
        <is>
          <t>1. Click 'How it works ▸' in the sidebar.
2. Play; use Download MP4 / Download GIF.</t>
        </is>
      </c>
      <c r="F21" s="7" t="inlineStr">
        <is>
          <t>Explainer plays in the browser; GIF and MP4 download and play.</t>
        </is>
      </c>
      <c r="G21" s="7" t="inlineStr">
        <is>
          <t>/explainer: HTTP 200, 39 KB · /explainer.gif: HTTP 200, 3.6 MB · /explainer.mp4: HTTP 200, 4.0 MB</t>
        </is>
      </c>
      <c r="H21" s="8" t="inlineStr">
        <is>
          <t>PASS</t>
        </is>
      </c>
      <c r="I21" s="7" t="n">
        <v>0</v>
      </c>
      <c r="J21" s="9" t="inlineStr"/>
      <c r="K21" s="10" t="inlineStr"/>
      <c r="L21" s="10" t="inlineStr"/>
      <c r="M21" s="10" t="inlineStr"/>
    </row>
    <row r="22" ht="140" customHeight="1">
      <c r="A22" s="6" t="inlineStr">
        <is>
          <t>TC-17</t>
        </is>
      </c>
      <c r="B22" s="7" t="inlineStr">
        <is>
          <t>Setup</t>
        </is>
      </c>
      <c r="C22" s="7" t="inlineStr">
        <is>
          <t>Leave the app clean</t>
        </is>
      </c>
      <c r="D22" s="7" t="inlineStr">
        <is>
          <t>Is the app ready for the next demo?</t>
        </is>
      </c>
      <c r="E22" s="7" t="inlineStr">
        <is>
          <t>1. Remittance inbox → Reset demo data → OK.</t>
        </is>
      </c>
      <c r="F22" s="7" t="inlineStr">
        <is>
          <t>Resolved 0, no Teams alerts, live files ready to ingest again.</t>
        </is>
      </c>
      <c r="G22" s="7" t="inlineStr">
        <is>
          <t>Reloaded 1200 claims and 1194 remittances. Resolved: 0. Teams alerts: 0. Live files in Recent files: 0. Ready for a live demo.</t>
        </is>
      </c>
      <c r="H22" s="8" t="inlineStr">
        <is>
          <t>PASS</t>
        </is>
      </c>
      <c r="I22" s="7" t="n">
        <v>1</v>
      </c>
      <c r="J22" s="9" t="inlineStr"/>
      <c r="K22" s="10" t="inlineStr"/>
      <c r="L22" s="10" t="inlineStr"/>
      <c r="M22" s="10" t="inlineStr"/>
    </row>
  </sheetData>
  <autoFilter ref="A5:M22"/>
  <conditionalFormatting sqref="H6:H22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J6:J22">
    <cfRule type="cellIs" priority="3" operator="equal" dxfId="0">
      <formula>"PASS"</formula>
    </cfRule>
    <cfRule type="cellIs" priority="4" operator="equal" dxfId="1">
      <formula>"FAIL"</formula>
    </cfRule>
  </conditionalFormatting>
  <dataValidations count="1">
    <dataValidation sqref="J6:J22" showDropDown="0" showInputMessage="0" showErrorMessage="0" allowBlank="1" type="list">
      <formula1>"PASS,FAIL"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0" customWidth="1" min="3" max="3"/>
    <col width="110" customWidth="1" min="4" max="4"/>
  </cols>
  <sheetData>
    <row r="1">
      <c r="A1" s="1" t="inlineStr">
        <is>
          <t>Every button, clicked in a real browser (Chromium)</t>
        </is>
      </c>
    </row>
    <row r="2">
      <c r="A2" s="2" t="inlineStr">
        <is>
          <t>49 of 49 checks passed on the release being deployed. Includes double-click protection, filters, letter download, upload, reset and phone width.</t>
        </is>
      </c>
    </row>
    <row r="4">
      <c r="A4" s="17" t="inlineStr">
        <is>
          <t>#</t>
        </is>
      </c>
      <c r="B4" s="17" t="inlineStr">
        <is>
          <t>Check</t>
        </is>
      </c>
      <c r="C4" s="17" t="inlineStr">
        <is>
          <t>Status</t>
        </is>
      </c>
      <c r="D4" s="17" t="inlineStr">
        <is>
          <t>What the browser saw</t>
        </is>
      </c>
    </row>
    <row r="5">
      <c r="A5" s="18" t="n">
        <v>1</v>
      </c>
      <c r="B5" s="18" t="inlineStr">
        <is>
          <t>Sidebar shows version</t>
        </is>
      </c>
      <c r="C5" s="19" t="inlineStr">
        <is>
          <t>PASS</t>
        </is>
      </c>
      <c r="D5" s="18" t="inlineStr">
        <is>
          <t>Version 5e522f98</t>
        </is>
      </c>
    </row>
    <row r="6">
      <c r="A6" s="18" t="n">
        <v>2</v>
      </c>
      <c r="B6" s="18" t="inlineStr">
        <is>
          <t>Sidebar shows AI mode</t>
        </is>
      </c>
      <c r="C6" s="19" t="inlineStr">
        <is>
          <t>PASS</t>
        </is>
      </c>
      <c r="D6" s="18" t="inlineStr">
        <is>
          <t>AI: Azure OpenAI</t>
        </is>
      </c>
    </row>
    <row r="7">
      <c r="A7" s="18" t="n">
        <v>3</v>
      </c>
      <c r="B7" s="18" t="inlineStr">
        <is>
          <t>Reset demo data</t>
        </is>
      </c>
      <c r="C7" s="19" t="inlineStr">
        <is>
          <t>PASS</t>
        </is>
      </c>
      <c r="D7" s="18" t="inlineStr"/>
    </row>
    <row r="8">
      <c r="A8" s="18" t="n">
        <v>4</v>
      </c>
      <c r="B8" s="18" t="inlineStr">
        <is>
          <t>Dashboard 5 tiles</t>
        </is>
      </c>
      <c r="C8" s="19" t="inlineStr">
        <is>
          <t>PASS</t>
        </is>
      </c>
      <c r="D8" s="18" t="inlineStr">
        <is>
          <t>Open denied dollars$157,985253 open items | At risk ≤ 30 days$21,6502 critical · 10 high | Expected recovery$18,451ML-weighted (synthetic history) | Noise filtered3,256routine adjustments, no work created | Resolved0approved or overridden</t>
        </is>
      </c>
    </row>
    <row r="9">
      <c r="A9" s="18" t="n">
        <v>5</v>
      </c>
      <c r="B9" s="18" t="inlineStr">
        <is>
          <t>Dashboard charts</t>
        </is>
      </c>
      <c r="C9" s="19" t="inlineStr">
        <is>
          <t>PASS</t>
        </is>
      </c>
      <c r="D9" s="18" t="inlineStr"/>
    </row>
    <row r="10">
      <c r="A10" s="18" t="n">
        <v>6</v>
      </c>
      <c r="B10" s="18" t="inlineStr">
        <is>
          <t>Dashboard no alerts after reset</t>
        </is>
      </c>
      <c r="C10" s="19" t="inlineStr">
        <is>
          <t>PASS</t>
        </is>
      </c>
      <c r="D10" s="18" t="inlineStr"/>
    </row>
    <row r="11">
      <c r="A11" s="18" t="n">
        <v>7</v>
      </c>
      <c r="B11" s="18" t="inlineStr">
        <is>
          <t>'Work critical items' opens filtered worklist</t>
        </is>
      </c>
      <c r="C11" s="19" t="inlineStr">
        <is>
          <t>PASS</t>
        </is>
      </c>
      <c r="D11" s="18" t="inlineStr">
        <is>
          <t>2 rows</t>
        </is>
      </c>
    </row>
    <row r="12">
      <c r="A12" s="18" t="n">
        <v>8</v>
      </c>
      <c r="B12" s="18" t="inlineStr">
        <is>
          <t>Worklist queue filter</t>
        </is>
      </c>
      <c r="C12" s="19" t="inlineStr">
        <is>
          <t>PASS</t>
        </is>
      </c>
      <c r="D12" s="18" t="inlineStr">
        <is>
          <t>78 Coding rows</t>
        </is>
      </c>
    </row>
    <row r="13">
      <c r="A13" s="18" t="n">
        <v>9</v>
      </c>
      <c r="B13" s="18" t="inlineStr">
        <is>
          <t>Worklist filter #f-action=WRITE_OFF matches the server</t>
        </is>
      </c>
      <c r="C13" s="19" t="inlineStr">
        <is>
          <t>PASS</t>
        </is>
      </c>
      <c r="D13" s="18" t="inlineStr">
        <is>
          <t>30 items · $20,305 (server: 30)</t>
        </is>
      </c>
    </row>
    <row r="14">
      <c r="A14" s="18" t="n">
        <v>10</v>
      </c>
      <c r="B14" s="18" t="inlineStr">
        <is>
          <t>Worklist filter #f-payer=MCR matches the server</t>
        </is>
      </c>
      <c r="C14" s="19" t="inlineStr">
        <is>
          <t>PASS</t>
        </is>
      </c>
      <c r="D14" s="18" t="inlineStr">
        <is>
          <t>164 items · $77,730 (server: 164)</t>
        </is>
      </c>
    </row>
    <row r="15">
      <c r="A15" s="18" t="n">
        <v>11</v>
      </c>
      <c r="B15" s="18" t="inlineStr">
        <is>
          <t>Worklist filter #f-status=DONE matches the server</t>
        </is>
      </c>
      <c r="C15" s="19" t="inlineStr">
        <is>
          <t>PASS</t>
        </is>
      </c>
      <c r="D15" s="18" t="inlineStr">
        <is>
          <t>0 items · $0 (server: 0)</t>
        </is>
      </c>
    </row>
    <row r="16">
      <c r="A16" s="18" t="n">
        <v>12</v>
      </c>
      <c r="B16" s="18" t="inlineStr">
        <is>
          <t>Worklist sorted by score</t>
        </is>
      </c>
      <c r="C16" s="19" t="inlineStr">
        <is>
          <t>PASS</t>
        </is>
      </c>
      <c r="D16" s="18" t="inlineStr">
        <is>
          <t>253 rows</t>
        </is>
      </c>
    </row>
    <row r="17">
      <c r="A17" s="18" t="n">
        <v>13</v>
      </c>
      <c r="B17" s="18" t="inlineStr">
        <is>
          <t>'Explain with AI' button present</t>
        </is>
      </c>
      <c r="C17" s="19" t="inlineStr">
        <is>
          <t>PASS</t>
        </is>
      </c>
      <c r="D17" s="18" t="inlineStr"/>
    </row>
    <row r="18">
      <c r="A18" s="18" t="n">
        <v>14</v>
      </c>
      <c r="B18" s="18" t="inlineStr">
        <is>
          <t>Explain shows busy state</t>
        </is>
      </c>
      <c r="C18" s="19" t="inlineStr">
        <is>
          <t>PASS</t>
        </is>
      </c>
      <c r="D18" s="18" t="inlineStr">
        <is>
          <t>AI is writing… 0s</t>
        </is>
      </c>
    </row>
    <row r="19">
      <c r="A19" s="18" t="n">
        <v>15</v>
      </c>
      <c r="B19" s="18" t="inlineStr">
        <is>
          <t>Explain with AI result</t>
        </is>
      </c>
      <c r="C19" s="19" t="inlineStr">
        <is>
          <t>PASS</t>
        </is>
      </c>
      <c r="D19" s="18" t="inlineStr">
        <is>
          <t>Explanation by azure:gpt-4.1-mini</t>
        </is>
      </c>
    </row>
    <row r="20">
      <c r="A20" s="18" t="n">
        <v>16</v>
      </c>
      <c r="B20" s="18" t="inlineStr">
        <is>
          <t>Escape closes the claim drawer</t>
        </is>
      </c>
      <c r="C20" s="19" t="inlineStr">
        <is>
          <t>PASS</t>
        </is>
      </c>
      <c r="D20" s="18" t="inlineStr"/>
    </row>
    <row r="21">
      <c r="A21" s="18" t="n">
        <v>17</v>
      </c>
      <c r="B21" s="18" t="inlineStr">
        <is>
          <t>Ingest shows Processing counter</t>
        </is>
      </c>
      <c r="C21" s="19" t="inlineStr">
        <is>
          <t>PASS</t>
        </is>
      </c>
      <c r="D21" s="18" t="inlineStr">
        <is>
          <t>Processing… 0s</t>
        </is>
      </c>
    </row>
    <row r="22">
      <c r="A22" s="18" t="n">
        <v>18</v>
      </c>
      <c r="B22" s="18" t="inlineStr">
        <is>
          <t>Other buttons locked while processing</t>
        </is>
      </c>
      <c r="C22" s="19" t="inlineStr">
        <is>
          <t>PASS</t>
        </is>
      </c>
      <c r="D22" s="18" t="inlineStr"/>
    </row>
    <row r="23">
      <c r="A23" s="18" t="n">
        <v>19</v>
      </c>
      <c r="B23" s="18" t="inlineStr">
        <is>
          <t>SMM result</t>
        </is>
      </c>
      <c r="C23" s="19" t="inlineStr">
        <is>
          <t>PASS</t>
        </is>
      </c>
      <c r="D23" s="18" t="inlineStr">
        <is>
          <t>✓ 835 processed · Summit Mutual (Demo commercial) - 2 claims, 2 denials decided, 2 Teams alerts PRH-10222 → Appeal (level 1) · $2,840.00PRH-10223 → Correct &amp; resubmit · $380.00 See the Teams alerts on the Dashboard →</t>
        </is>
      </c>
    </row>
    <row r="24">
      <c r="A24" s="18" t="n">
        <v>20</v>
      </c>
      <c r="B24" s="18" t="inlineStr">
        <is>
          <t>SMM marked Ingested ✓</t>
        </is>
      </c>
      <c r="C24" s="19" t="inlineStr">
        <is>
          <t>PASS</t>
        </is>
      </c>
      <c r="D24" s="18" t="inlineStr"/>
    </row>
    <row r="25">
      <c r="A25" s="18" t="n">
        <v>21</v>
      </c>
      <c r="B25" s="18" t="inlineStr">
        <is>
          <t>Double click did NOT ingest twice</t>
        </is>
      </c>
      <c r="C25" s="19" t="inlineStr">
        <is>
          <t>PASS</t>
        </is>
      </c>
      <c r="D25" s="18" t="inlineStr">
        <is>
          <t>260835_LIVE_SMM_20261027.txt8352026-10-2</t>
        </is>
      </c>
    </row>
    <row r="26">
      <c r="A26" s="18" t="n">
        <v>22</v>
      </c>
      <c r="B26" s="18" t="inlineStr">
        <is>
          <t>Dashboard shows 2 Teams alerts</t>
        </is>
      </c>
      <c r="C26" s="19" t="inlineStr">
        <is>
          <t>PASS</t>
        </is>
      </c>
      <c r="D26" s="18" t="inlineStr">
        <is>
          <t>⏰ Deadline alert | 💲 High-value denial</t>
        </is>
      </c>
    </row>
    <row r="27">
      <c r="A27" s="18" t="n">
        <v>23</v>
      </c>
      <c r="B27" s="18" t="inlineStr">
        <is>
          <t>PRH-10222 decision</t>
        </is>
      </c>
      <c r="C27" s="19" t="inlineStr">
        <is>
          <t>PASS</t>
        </is>
      </c>
      <c r="D27" s="18" t="inlineStr">
        <is>
          <t>Line 1 · 74177CO-197 Appeal (level 1) → Utilization Review OPEN</t>
        </is>
      </c>
    </row>
    <row r="28">
      <c r="A28" s="18" t="n">
        <v>24</v>
      </c>
      <c r="B28" s="18" t="inlineStr">
        <is>
          <t>PRH-10222 cause names auth</t>
        </is>
      </c>
      <c r="C28" s="19" t="inlineStr">
        <is>
          <t>PASS</t>
        </is>
      </c>
      <c r="D28" s="18" t="inlineStr"/>
    </row>
    <row r="29">
      <c r="A29" s="18" t="n">
        <v>25</v>
      </c>
      <c r="B29" s="18" t="inlineStr">
        <is>
          <t>PRH-10222 citation + deadline</t>
        </is>
      </c>
      <c r="C29" s="19" t="inlineStr">
        <is>
          <t>PASS</t>
        </is>
      </c>
      <c r="D29" s="18" t="inlineStr"/>
    </row>
    <row r="30">
      <c r="A30" s="18" t="n">
        <v>26</v>
      </c>
      <c r="B30" s="18" t="inlineStr">
        <is>
          <t>Letter drafted with claim + auth</t>
        </is>
      </c>
      <c r="C30" s="19" t="inlineStr">
        <is>
          <t>PASS</t>
        </is>
      </c>
      <c r="D30" s="18" t="inlineStr">
        <is>
          <t>1174 chars</t>
        </is>
      </c>
    </row>
    <row r="31">
      <c r="A31" s="18" t="n">
        <v>27</v>
      </c>
      <c r="B31" s="18" t="inlineStr">
        <is>
          <t>Letter download .txt</t>
        </is>
      </c>
      <c r="C31" s="19" t="inlineStr">
        <is>
          <t>PASS</t>
        </is>
      </c>
      <c r="D31" s="18" t="inlineStr"/>
    </row>
    <row r="32">
      <c r="A32" s="18" t="n">
        <v>28</v>
      </c>
      <c r="B32" s="18" t="inlineStr">
        <is>
          <t>Approve → DONE</t>
        </is>
      </c>
      <c r="C32" s="19" t="inlineStr">
        <is>
          <t>PASS</t>
        </is>
      </c>
      <c r="D32" s="18" t="inlineStr"/>
    </row>
    <row r="33">
      <c r="A33" s="18" t="n">
        <v>29</v>
      </c>
      <c r="B33" s="18" t="inlineStr">
        <is>
          <t>MCR result</t>
        </is>
      </c>
      <c r="C33" s="19" t="inlineStr">
        <is>
          <t>PASS</t>
        </is>
      </c>
      <c r="D33" s="18" t="inlineStr">
        <is>
          <t>✓ 835 processed · Medicare Part B (Demo MAC) - 4 claims, 6 denials decided, 0 Teams alerts PRH-10224 → Correct &amp; resubmit · $1,800.00PRH-10225 → Bill other payer · $240.00PRH-10225 → Bill other payer · $25.00PRH-10225 → Bill other payer · $95.00PRH-10226 → Correct &amp; resubmit · $110.00PRH-10227 → Submit new claim · $240.00</t>
        </is>
      </c>
    </row>
    <row r="34">
      <c r="A34" s="18" t="n">
        <v>30</v>
      </c>
      <c r="B34" s="18" t="inlineStr">
        <is>
          <t>PRH-10224 → Correct &amp; resubmit</t>
        </is>
      </c>
      <c r="C34" s="19" t="inlineStr">
        <is>
          <t>PASS</t>
        </is>
      </c>
      <c r="D34" s="18" t="inlineStr">
        <is>
          <t>Line 1 · 93306CO-50N115MA18 Correct &amp; resubmit → Coding OPEN</t>
        </is>
      </c>
    </row>
    <row r="35">
      <c r="A35" s="18" t="n">
        <v>31</v>
      </c>
      <c r="B35" s="18" t="inlineStr">
        <is>
          <t>PRH-10225 → Bill other payer</t>
        </is>
      </c>
      <c r="C35" s="19" t="inlineStr">
        <is>
          <t>PASS</t>
        </is>
      </c>
      <c r="D35" s="18" t="inlineStr">
        <is>
          <t>Line 1 · 99214CO-22MA04 Bill other payer → Registration OPEN</t>
        </is>
      </c>
    </row>
    <row r="36">
      <c r="A36" s="18" t="n">
        <v>32</v>
      </c>
      <c r="B36" s="18" t="inlineStr">
        <is>
          <t>PRH-10226 → Correct &amp; resubmit</t>
        </is>
      </c>
      <c r="C36" s="19" t="inlineStr">
        <is>
          <t>PASS</t>
        </is>
      </c>
      <c r="D36" s="18" t="inlineStr">
        <is>
          <t>Line 2 · 97140CO-97M15MA18 Correct &amp; resubmit → Coding OPEN</t>
        </is>
      </c>
    </row>
    <row r="37">
      <c r="A37" s="18" t="n">
        <v>33</v>
      </c>
      <c r="B37" s="18" t="inlineStr">
        <is>
          <t>PRH-10227 → Submit new claim</t>
        </is>
      </c>
      <c r="C37" s="19" t="inlineStr">
        <is>
          <t>PASS</t>
        </is>
      </c>
      <c r="D37" s="18" t="inlineStr">
        <is>
          <t>Line 1 · 99214CO-16MA130N290 Submit new claim → Billing OPEN</t>
        </is>
      </c>
    </row>
    <row r="38">
      <c r="A38" s="18" t="n">
        <v>34</v>
      </c>
      <c r="B38" s="18" t="inlineStr">
        <is>
          <t>PRH-10223 → Correct &amp; resubmit</t>
        </is>
      </c>
      <c r="C38" s="19" t="inlineStr">
        <is>
          <t>PASS</t>
        </is>
      </c>
      <c r="D38" s="18" t="inlineStr">
        <is>
          <t>Line 1 · 20610CO-11 Correct &amp; resubmit → Coding OPEN</t>
        </is>
      </c>
    </row>
    <row r="39">
      <c r="A39" s="18" t="n">
        <v>35</v>
      </c>
      <c r="B39" s="18" t="inlineStr">
        <is>
          <t>PRH-10224 checks ✗ billed / ✓ chart</t>
        </is>
      </c>
      <c r="C39" s="19" t="inlineStr">
        <is>
          <t>PASS</t>
        </is>
      </c>
      <c r="D39" s="18" t="inlineStr">
        <is>
          <t>FAIL:Billed diagnosis covered by DEMO-L001 I10 | PASS:Covered diagnosis documented in chart R06.02</t>
        </is>
      </c>
    </row>
    <row r="40">
      <c r="A40" s="18" t="n">
        <v>36</v>
      </c>
      <c r="B40" s="18" t="inlineStr">
        <is>
          <t>Override without reason asks for one</t>
        </is>
      </c>
      <c r="C40" s="19" t="inlineStr">
        <is>
          <t>PASS</t>
        </is>
      </c>
      <c r="D40" s="18" t="inlineStr"/>
    </row>
    <row r="41">
      <c r="A41" s="18" t="n">
        <v>37</v>
      </c>
      <c r="B41" s="18" t="inlineStr">
        <is>
          <t>Override saved → DONE</t>
        </is>
      </c>
      <c r="C41" s="19" t="inlineStr">
        <is>
          <t>PASS</t>
        </is>
      </c>
      <c r="D41" s="18" t="inlineStr"/>
    </row>
    <row r="42">
      <c r="A42" s="18" t="n">
        <v>38</v>
      </c>
      <c r="B42" s="18" t="inlineStr">
        <is>
          <t>Assistant answers 3 questions</t>
        </is>
      </c>
      <c r="C42" s="19" t="inlineStr">
        <is>
          <t>PASS</t>
        </is>
      </c>
      <c r="D42" s="18" t="inlineStr">
        <is>
          <t>1. PRH-10007 CO-197 74177 - Obtain retro-authoriza | PRH-10222 - Summit Mutual (Demo commercial) - DOS  | I can help with denials: try top 10 by dollars, wh</t>
        </is>
      </c>
    </row>
    <row r="43">
      <c r="A43" s="18" t="n">
        <v>39</v>
      </c>
      <c r="B43" s="18" t="inlineStr">
        <is>
          <t>Claim link in assistant answer opens claim</t>
        </is>
      </c>
      <c r="C43" s="19" t="inlineStr">
        <is>
          <t>PASS</t>
        </is>
      </c>
      <c r="D43" s="18" t="inlineStr">
        <is>
          <t>PRH-10007</t>
        </is>
      </c>
    </row>
    <row r="44">
      <c r="A44" s="18" t="n">
        <v>40</v>
      </c>
      <c r="B44" s="18" t="inlineStr">
        <is>
          <t>Upload bad file → Quarantined</t>
        </is>
      </c>
      <c r="C44" s="19" t="inlineStr">
        <is>
          <t>PASS</t>
        </is>
      </c>
      <c r="D44" s="18" t="inlineStr">
        <is>
          <t>Quarantined: File is not an X12 835 or 837 transaction</t>
        </is>
      </c>
    </row>
    <row r="45">
      <c r="A45" s="18" t="n">
        <v>41</v>
      </c>
      <c r="B45" s="18" t="inlineStr">
        <is>
          <t>Upload valid 837 → processed</t>
        </is>
      </c>
      <c r="C45" s="19" t="inlineStr">
        <is>
          <t>PASS</t>
        </is>
      </c>
      <c r="D45" s="18" t="inlineStr">
        <is>
          <t>✓ 837 processed - 4 claims</t>
        </is>
      </c>
    </row>
    <row r="46">
      <c r="A46" s="18" t="n">
        <v>42</v>
      </c>
      <c r="B46" s="18" t="inlineStr">
        <is>
          <t>View raw opens X12 text</t>
        </is>
      </c>
      <c r="C46" s="19" t="inlineStr">
        <is>
          <t>PASS</t>
        </is>
      </c>
      <c r="D46" s="18" t="inlineStr"/>
    </row>
    <row r="47">
      <c r="A47" s="18" t="n">
        <v>43</v>
      </c>
      <c r="B47" s="18" t="inlineStr">
        <is>
          <t>Proof: 100% and 0 unsafe</t>
        </is>
      </c>
      <c r="C47" s="19" t="inlineStr">
        <is>
          <t>PASS</t>
        </is>
      </c>
      <c r="D47" s="18" t="inlineStr">
        <is>
          <t>Denial decisions correct100.0%258 labelled denials | Noise correctly filtered100.0%3260 routine adjustments | Unsafe actions0e.g. billing a patient on CO</t>
        </is>
      </c>
    </row>
    <row r="48">
      <c r="A48" s="18" t="n">
        <v>44</v>
      </c>
      <c r="B48" s="18" t="inlineStr">
        <is>
          <t>Dashboard Resolved = 2</t>
        </is>
      </c>
      <c r="C48" s="19" t="inlineStr">
        <is>
          <t>PASS</t>
        </is>
      </c>
      <c r="D48" s="18" t="inlineStr"/>
    </row>
    <row r="49">
      <c r="A49" s="18" t="n">
        <v>45</v>
      </c>
      <c r="B49" s="18" t="inlineStr">
        <is>
          <t>How it works opens explainer</t>
        </is>
      </c>
      <c r="C49" s="19" t="inlineStr">
        <is>
          <t>PASS</t>
        </is>
      </c>
      <c r="D49" s="18" t="inlineStr">
        <is>
          <t>Denial Navigator · How it works</t>
        </is>
      </c>
    </row>
    <row r="50">
      <c r="A50" s="18" t="n">
        <v>46</v>
      </c>
      <c r="B50" s="18" t="inlineStr">
        <is>
          <t>MP4 + GIF downloadable</t>
        </is>
      </c>
      <c r="C50" s="19" t="inlineStr">
        <is>
          <t>PASS</t>
        </is>
      </c>
      <c r="D50" s="18" t="inlineStr">
        <is>
          <t>200,200</t>
        </is>
      </c>
    </row>
    <row r="51">
      <c r="A51" s="18" t="n">
        <v>47</v>
      </c>
      <c r="B51" s="18" t="inlineStr">
        <is>
          <t>Phone width: no sideways scroll on inbox</t>
        </is>
      </c>
      <c r="C51" s="19" t="inlineStr">
        <is>
          <t>PASS</t>
        </is>
      </c>
      <c r="D51" s="18" t="inlineStr">
        <is>
          <t>overflow 0px</t>
        </is>
      </c>
    </row>
    <row r="52">
      <c r="A52" s="18" t="n">
        <v>48</v>
      </c>
      <c r="B52" s="18" t="inlineStr">
        <is>
          <t>Final reset: Resolved 0, no alerts</t>
        </is>
      </c>
      <c r="C52" s="19" t="inlineStr">
        <is>
          <t>PASS</t>
        </is>
      </c>
      <c r="D52" s="18" t="inlineStr"/>
    </row>
    <row r="53">
      <c r="A53" s="18" t="n">
        <v>49</v>
      </c>
      <c r="B53" s="18" t="inlineStr">
        <is>
          <t>No JavaScript errors</t>
        </is>
      </c>
      <c r="C53" s="19" t="inlineStr">
        <is>
          <t>PASS</t>
        </is>
      </c>
      <c r="D5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Test run summary</t>
        </is>
      </c>
    </row>
    <row r="3">
      <c r="A3" s="11" t="inlineStr">
        <is>
          <t>Test cases</t>
        </is>
      </c>
      <c r="B3" s="12">
        <f>COUNTA('Test Cases'!A6:A22)</f>
        <v/>
      </c>
    </row>
    <row r="4">
      <c r="A4" s="11" t="inlineStr">
        <is>
          <t>Automated: passed</t>
        </is>
      </c>
      <c r="B4" s="12">
        <f>COUNTIF('Test Cases'!H6:H22,"PASS")</f>
        <v/>
      </c>
    </row>
    <row r="5">
      <c r="A5" s="11" t="inlineStr">
        <is>
          <t>Automated: failed</t>
        </is>
      </c>
      <c r="B5" s="12">
        <f>COUNTIF('Test Cases'!H6:H22,"FAIL")</f>
        <v/>
      </c>
    </row>
    <row r="6">
      <c r="A6" s="11" t="inlineStr">
        <is>
          <t>Automated pass rate</t>
        </is>
      </c>
      <c r="B6" s="13">
        <f>IF(B3=0,0,B4/B3)</f>
        <v/>
      </c>
    </row>
    <row r="7">
      <c r="A7" s="11" t="inlineStr">
        <is>
          <t>Validated by a person: passed</t>
        </is>
      </c>
      <c r="B7" s="12">
        <f>COUNTIF('Test Cases'!J6:J22,"PASS")</f>
        <v/>
      </c>
    </row>
    <row r="8">
      <c r="A8" s="11" t="inlineStr">
        <is>
          <t>Validated by a person: failed</t>
        </is>
      </c>
      <c r="B8" s="12">
        <f>COUNTIF('Test Cases'!J6:J22,"FAIL")</f>
        <v/>
      </c>
    </row>
    <row r="9">
      <c r="A9" s="11" t="inlineStr">
        <is>
          <t>Not yet validated</t>
        </is>
      </c>
      <c r="B9" s="12">
        <f>B3-B7-B8</f>
        <v/>
      </c>
    </row>
    <row r="10">
      <c r="A10" s="11" t="inlineStr">
        <is>
          <t>Average response time (s)</t>
        </is>
      </c>
      <c r="B10" s="14">
        <f>AVERAGE('Test Cases'!I6:I22)</f>
        <v/>
      </c>
    </row>
    <row r="11">
      <c r="A11" s="11" t="inlineStr">
        <is>
          <t>AI mode</t>
        </is>
      </c>
      <c r="B11" s="12" t="inlineStr">
        <is>
          <t>Simulated Azure OpenAI (1.5 s per call) - run on live Azure to capture real AI</t>
        </is>
      </c>
    </row>
    <row r="12">
      <c r="A12" s="11" t="inlineStr">
        <is>
          <t>Version</t>
        </is>
      </c>
      <c r="B12" s="12" t="inlineStr">
        <is>
          <t>5e522f98</t>
        </is>
      </c>
    </row>
    <row r="13">
      <c r="A13" s="11" t="inlineStr">
        <is>
          <t>Environment</t>
        </is>
      </c>
      <c r="B13" s="12" t="inlineStr">
        <is>
          <t>Local copy of the release being deployed (same code as Azure)</t>
        </is>
      </c>
    </row>
    <row r="14">
      <c r="A14" s="11" t="inlineStr">
        <is>
          <t>Automated run at (UTC)</t>
        </is>
      </c>
      <c r="B14" s="12" t="inlineStr">
        <is>
          <t>2026-10-27 16:23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How to validate Denial Navigator (about 20 minutes)</t>
        </is>
      </c>
    </row>
    <row r="2">
      <c r="A2" s="16" t="inlineStr">
        <is>
          <t>1. Open the app link in Chrome or Edge. Press Cmd+Shift+R (Mac) or Ctrl+Shift+R (Windows) once.</t>
        </is>
      </c>
    </row>
    <row r="3">
      <c r="A3" s="16" t="inlineStr">
        <is>
          <t>2. Check the sidebar shows the same Version as this workbook (Summary sheet).</t>
        </is>
      </c>
    </row>
    <row r="4">
      <c r="A4" s="16" t="inlineStr">
        <is>
          <t>3. Go through TC-01 to TC-17 in order on the 'Test Cases' sheet. Follow 'How to test', compare with 'Expected result'.</t>
        </is>
      </c>
    </row>
    <row r="5">
      <c r="A5" s="16" t="inlineStr">
        <is>
          <t>4. In the yellow columns choose PASS or FAIL, add your name, the date and any notes.</t>
        </is>
      </c>
    </row>
    <row r="6">
      <c r="A6" s="16" t="inlineStr">
        <is>
          <t>5. Finish with TC-17 (Reset demo data) so the app is clean for the next demo.</t>
        </is>
      </c>
    </row>
    <row r="7">
      <c r="A7" s="16" t="inlineStr"/>
    </row>
    <row r="8">
      <c r="A8" s="16" t="inlineStr">
        <is>
          <t>To re-run the automated checks yourself, in Azure Cloud Shell:</t>
        </is>
      </c>
    </row>
    <row r="9">
      <c r="A9" s="16" t="inlineStr">
        <is>
          <t xml:space="preserve">   cd ~/claims-denial-navigator/poc &amp;&amp; python3 scripts/run_test_cases.py &lt;app link&gt;</t>
        </is>
      </c>
    </row>
    <row r="10">
      <c r="A10" s="16" t="inlineStr">
        <is>
          <t xml:space="preserve">   The workbook is written to ~/claims-denial-navigator/poc/Denial_Navigator_Test_Results.xlsx</t>
        </is>
      </c>
    </row>
    <row r="11">
      <c r="A11" s="16" t="inlineStr">
        <is>
          <t xml:space="preserve">   Download it: Cloud Shell toolbar → Manage files → Download → paste that path.</t>
        </is>
      </c>
    </row>
    <row r="12">
      <c r="A12" s="16" t="inlineStr"/>
    </row>
    <row r="13">
      <c r="A13" s="16" t="inlineStr">
        <is>
          <t>Colours: PASS (green) = behaved as expected. FAIL (red) = did not; see the result column.</t>
        </is>
      </c>
    </row>
    <row r="14">
      <c r="A14" s="16" t="inlineStr">
        <is>
          <t>All data is synthetic: a fictional hospital, fictional payers and patients. No real patient information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2026-10-27T16:23:19Z</dcterms:created>
  <dcterms:modified xmlns:dcterms="http://purl.org/dc/terms/" xmlns:xsi="http://www.w3.org/2001/XMLSchema-instance" xsi:type="dcterms:W3CDTF">2026-10-27T16:23:32Z</dcterms:modified>
</cp:coreProperties>
</file>